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d93ad933fe4058c/Desktop/Portfolio Projects/UK Tax Computation/"/>
    </mc:Choice>
  </mc:AlternateContent>
  <xr:revisionPtr revIDLastSave="154" documentId="11_D34F1C5FFB201C770DAA98755D880DE1C56D1464" xr6:coauthVersionLast="47" xr6:coauthVersionMax="47" xr10:uidLastSave="{FE03D184-BF63-4D07-B9BA-9F67D54A7D80}"/>
  <bookViews>
    <workbookView xWindow="-108" yWindow="-108" windowWidth="23256" windowHeight="12456" xr2:uid="{00000000-000D-0000-FFFF-FFFF00000000}"/>
  </bookViews>
  <sheets>
    <sheet name="Cover" sheetId="1" r:id="rId1"/>
    <sheet name="Tax Rates" sheetId="2" r:id="rId2"/>
    <sheet name="Individual Source Data" sheetId="3" r:id="rId3"/>
    <sheet name="Individual Tax Comp" sheetId="4" r:id="rId4"/>
    <sheet name="Capital Allowances" sheetId="5" r:id="rId5"/>
    <sheet name="Company Source Data" sheetId="6" r:id="rId6"/>
    <sheet name="Company Tax Comp" sheetId="7" r:id="rId7"/>
    <sheet name="Tax Reconcilia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7" l="1"/>
  <c r="B14" i="7"/>
  <c r="B13" i="7"/>
  <c r="D5" i="8"/>
  <c r="B19" i="4"/>
  <c r="B18" i="4"/>
  <c r="B16" i="4"/>
  <c r="B4" i="4"/>
  <c r="B6" i="8"/>
  <c r="B5" i="8"/>
  <c r="B7" i="7"/>
  <c r="B6" i="7"/>
  <c r="B5" i="7"/>
  <c r="B4" i="7"/>
  <c r="B3" i="7"/>
  <c r="B8" i="7" s="1"/>
  <c r="D6" i="8" s="1"/>
  <c r="C6" i="8" s="1"/>
  <c r="D3" i="5"/>
  <c r="B10" i="4"/>
  <c r="B8" i="4"/>
  <c r="B7" i="4"/>
  <c r="B6" i="4"/>
  <c r="B5" i="4"/>
  <c r="B3" i="4"/>
  <c r="B9" i="4" l="1"/>
  <c r="B11" i="4" s="1"/>
  <c r="C5" i="8" s="1"/>
</calcChain>
</file>

<file path=xl/sharedStrings.xml><?xml version="1.0" encoding="utf-8"?>
<sst xmlns="http://schemas.openxmlformats.org/spreadsheetml/2006/main" count="169" uniqueCount="124">
  <si>
    <t>PROJECT 4 — UK TAX COMPUTATION</t>
  </si>
  <si>
    <t>Individual &amp; Company Tax Computation</t>
  </si>
  <si>
    <t>Tax year</t>
  </si>
  <si>
    <t>2026/27</t>
  </si>
  <si>
    <t>Individual case</t>
  </si>
  <si>
    <t>Alex Morgan — Self-employed Business Consultant</t>
  </si>
  <si>
    <t>Company case</t>
  </si>
  <si>
    <t>NorthPeak Outdoor Equipment Ltd — UK private limited company</t>
  </si>
  <si>
    <t>Software</t>
  </si>
  <si>
    <t>Microsoft Excel</t>
  </si>
  <si>
    <t>Status</t>
  </si>
  <si>
    <t>Day 1 — Workbook setup and source data</t>
  </si>
  <si>
    <t>Project objective</t>
  </si>
  <si>
    <t>Prepare professional UK individual and company tax computations by reconciling accounting profit to taxable profit, identifying tax adjustments, applying capital allowances and documenting the calculation clearly.</t>
  </si>
  <si>
    <t>UK TAX RATES — 2026/27</t>
  </si>
  <si>
    <t>Item</t>
  </si>
  <si>
    <t>Rate / Limit</t>
  </si>
  <si>
    <t>Use in project</t>
  </si>
  <si>
    <t>Source</t>
  </si>
  <si>
    <t>Personal Allowance</t>
  </si>
  <si>
    <t>Individual tax computation</t>
  </si>
  <si>
    <t>HMRC</t>
  </si>
  <si>
    <t>Basic rate</t>
  </si>
  <si>
    <t>Taxable income up to £37,700</t>
  </si>
  <si>
    <t>Basic rate limit</t>
  </si>
  <si>
    <t>Taxable income band</t>
  </si>
  <si>
    <t>Higher rate</t>
  </si>
  <si>
    <t>Taxable income £37,701–£125,140</t>
  </si>
  <si>
    <t>Additional rate</t>
  </si>
  <si>
    <t>Taxable income above £125,140</t>
  </si>
  <si>
    <t>Personal Allowance taper starts</t>
  </si>
  <si>
    <t>Allowance reduces above this income</t>
  </si>
  <si>
    <t>Corporation Tax small profits rate</t>
  </si>
  <si>
    <t>Profits under £50,000</t>
  </si>
  <si>
    <t>Corporation Tax main rate</t>
  </si>
  <si>
    <t>Profits over £250,000</t>
  </si>
  <si>
    <t>CT marginal relief lower limit</t>
  </si>
  <si>
    <t>Lower limit</t>
  </si>
  <si>
    <t>CT marginal relief upper limit</t>
  </si>
  <si>
    <t>Upper limit</t>
  </si>
  <si>
    <t>CT standard fraction</t>
  </si>
  <si>
    <t>3/200 marginal relief fraction</t>
  </si>
  <si>
    <t>Annual Investment Allowance</t>
  </si>
  <si>
    <t>Maximum AIA amount</t>
  </si>
  <si>
    <t>INDIVIDUAL SOURCE DATA</t>
  </si>
  <si>
    <t>Client</t>
  </si>
  <si>
    <t>Alex Morgan</t>
  </si>
  <si>
    <t>Business</t>
  </si>
  <si>
    <t>Morgan Business Consulting</t>
  </si>
  <si>
    <t>Amount (£)</t>
  </si>
  <si>
    <t>Treatment / note</t>
  </si>
  <si>
    <t>Tax adjustment</t>
  </si>
  <si>
    <t>Net profit per accounts</t>
  </si>
  <si>
    <t>Starting accounting profit</t>
  </si>
  <si>
    <t>Starting point</t>
  </si>
  <si>
    <t>Depreciation</t>
  </si>
  <si>
    <t>Accounting depreciation</t>
  </si>
  <si>
    <t>Add back</t>
  </si>
  <si>
    <t>Client entertaining</t>
  </si>
  <si>
    <t>Disallowable for tax</t>
  </si>
  <si>
    <t>Fines / penalties</t>
  </si>
  <si>
    <t>Disallowable</t>
  </si>
  <si>
    <t>Personal expense in business costs</t>
  </si>
  <si>
    <t>Not incurred wholly for trade</t>
  </si>
  <si>
    <t>Qualifying equipment purchased</t>
  </si>
  <si>
    <t>Qualifying plant and machinery</t>
  </si>
  <si>
    <t>Capital expenditure</t>
  </si>
  <si>
    <t>Annual Investment Allowance claimed</t>
  </si>
  <si>
    <t>Assumed fully qualifying</t>
  </si>
  <si>
    <t>Deduct</t>
  </si>
  <si>
    <t>INDIVIDUAL TAX COMPUTATION — 2026/27</t>
  </si>
  <si>
    <t>Add: depreciation</t>
  </si>
  <si>
    <t>Add: client entertaining</t>
  </si>
  <si>
    <t>Add: fines / penalties</t>
  </si>
  <si>
    <t>Add: personal expense</t>
  </si>
  <si>
    <t>Less: capital allowances / AIA</t>
  </si>
  <si>
    <t>Adjusted trading profit</t>
  </si>
  <si>
    <t>Less: Personal Allowance</t>
  </si>
  <si>
    <t>Taxable income</t>
  </si>
  <si>
    <t>CAPITAL ALLOWANCES WORKING</t>
  </si>
  <si>
    <t>Asset</t>
  </si>
  <si>
    <t>Cost (£)</t>
  </si>
  <si>
    <t>Allowance</t>
  </si>
  <si>
    <t>Claim (£)</t>
  </si>
  <si>
    <t>Business equipment</t>
  </si>
  <si>
    <t>AIA 100%</t>
  </si>
  <si>
    <t>Note</t>
  </si>
  <si>
    <t>AIA can provide a 100% deduction for qualifying plant and machinery, subject to the applicable rules.</t>
  </si>
  <si>
    <t>COMPANY SOURCE DATA</t>
  </si>
  <si>
    <t>Company</t>
  </si>
  <si>
    <t>NorthPeak Outdoor Equipment Ltd</t>
  </si>
  <si>
    <t>Accounting period</t>
  </si>
  <si>
    <t>1 Apr 2026 – 31 Mar 2027</t>
  </si>
  <si>
    <t>Sports &amp; camping equipment retail</t>
  </si>
  <si>
    <t>Profit before tax per accounts</t>
  </si>
  <si>
    <t>Legal fees relating to capital acquisition</t>
  </si>
  <si>
    <t>Qualifying equipment acquired</t>
  </si>
  <si>
    <t>COMPANY TAX COMPUTATION — FINANCIAL YEAR 2026</t>
  </si>
  <si>
    <t>Add: capital legal fees</t>
  </si>
  <si>
    <t>Taxable total profits</t>
  </si>
  <si>
    <t>Corporation Tax</t>
  </si>
  <si>
    <t>TAX RECONCILIATION</t>
  </si>
  <si>
    <t>Purpose</t>
  </si>
  <si>
    <t>Reconcile accounting profit to taxable profit</t>
  </si>
  <si>
    <t>Entity</t>
  </si>
  <si>
    <t>Accounting Profit (£)</t>
  </si>
  <si>
    <t>Tax Adjustments (£)</t>
  </si>
  <si>
    <t>Individual</t>
  </si>
  <si>
    <t>Income tax laibility</t>
  </si>
  <si>
    <t>Taxable non-savings income</t>
  </si>
  <si>
    <t>Basic-rate band</t>
  </si>
  <si>
    <t>Tax at 20%</t>
  </si>
  <si>
    <t>Higher-rate income</t>
  </si>
  <si>
    <t>Tax at 40%</t>
  </si>
  <si>
    <t>Income Tax Liability</t>
  </si>
  <si>
    <t>£</t>
  </si>
  <si>
    <t>Adjusted Trading Profit (£)</t>
  </si>
  <si>
    <t>Corporation tax liability</t>
  </si>
  <si>
    <t>Corporation Tax at 25%</t>
  </si>
  <si>
    <t>Less: Marginal Relief</t>
  </si>
  <si>
    <t>Corporation Tax liability</t>
  </si>
  <si>
    <r>
      <rPr>
        <b/>
        <sz val="11"/>
        <color theme="1"/>
        <rFont val="Calibri"/>
        <family val="2"/>
        <scheme val="minor"/>
      </rPr>
      <t>Assumption</t>
    </r>
    <r>
      <rPr>
        <sz val="11"/>
        <color theme="1"/>
        <rFont val="Calibri"/>
        <family val="2"/>
        <scheme val="minor"/>
      </rPr>
      <t>: NorthPeak Outdoor Equipment Ltd has no associated companies and no relevant exempt distributions/other adjustments affecting augmented profits.</t>
    </r>
  </si>
  <si>
    <r>
      <t>Disclaimer:</t>
    </r>
    <r>
      <rPr>
        <sz val="11"/>
        <color theme="1"/>
        <rFont val="Calibri"/>
        <family val="2"/>
        <scheme val="minor"/>
      </rPr>
      <t xml:space="preserve"> </t>
    </r>
  </si>
  <si>
    <t>This project uses fictional data for educational and portfolio purposes only. Tax rates and thresholds are based on the stated tax year and should be checked against current HMRC guidance before use for any real tax filing or advisory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</si>
</sst>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
    <numFmt numFmtId="171" formatCode="_-[$£-809]* #,##0.00_-;\-[$£-809]* #,##0.00_-;_-[$£-809]* &quot;-&quot;??_-;_-@_-"/>
  </numFmts>
  <fonts count="8" x14ac:knownFonts="1">
    <font>
      <sz val="11"/>
      <color theme="1"/>
      <name val="Calibri"/>
      <family val="2"/>
      <scheme val="minor"/>
    </font>
    <font>
      <b/>
      <sz val="20"/>
      <color rgb="FF172033"/>
      <name val="Calibri"/>
    </font>
    <font>
      <b/>
      <sz val="14"/>
      <color rgb="FF2F75B5"/>
      <name val="Calibri"/>
    </font>
    <font>
      <b/>
      <sz val="11"/>
      <name val="Calibri"/>
    </font>
    <font>
      <b/>
      <sz val="11"/>
      <color rgb="FF172033"/>
      <name val="Calibri"/>
    </font>
    <font>
      <b/>
      <sz val="11"/>
      <color rgb="FFFFFFFF"/>
      <name val="Calibri"/>
    </font>
    <font>
      <b/>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D9EAF7"/>
      </patternFill>
    </fill>
    <fill>
      <patternFill patternType="solid">
        <fgColor rgb="FF172033"/>
      </patternFill>
    </fill>
    <fill>
      <patternFill patternType="solid">
        <fgColor theme="0"/>
        <bgColor indexed="64"/>
      </patternFill>
    </fill>
    <fill>
      <patternFill patternType="solid">
        <fgColor theme="3" tint="0.59999389629810485"/>
        <bgColor indexed="64"/>
      </patternFill>
    </fill>
  </fills>
  <borders count="7">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right/>
      <top/>
      <bottom style="thin">
        <color rgb="FFB7B7B7"/>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style="thin">
        <color indexed="64"/>
      </left>
      <right/>
      <top style="thin">
        <color indexed="64"/>
      </top>
      <bottom style="thin">
        <color indexed="64"/>
      </bottom>
      <diagonal/>
    </border>
  </borders>
  <cellStyleXfs count="1">
    <xf numFmtId="0" fontId="0" fillId="0" borderId="0"/>
  </cellStyleXfs>
  <cellXfs count="41">
    <xf numFmtId="0" fontId="0" fillId="0" borderId="0" xfId="0"/>
    <xf numFmtId="0" fontId="0" fillId="0" borderId="0" xfId="0" applyAlignment="1">
      <alignment vertical="center" wrapText="1"/>
    </xf>
    <xf numFmtId="0" fontId="3" fillId="2" borderId="1" xfId="0" applyFont="1" applyFill="1" applyBorder="1" applyAlignment="1">
      <alignment vertical="center" wrapText="1"/>
    </xf>
    <xf numFmtId="0" fontId="0" fillId="0" borderId="1" xfId="0" applyBorder="1" applyAlignment="1">
      <alignment vertical="center" wrapText="1"/>
    </xf>
    <xf numFmtId="0" fontId="4" fillId="0" borderId="0" xfId="0" applyFont="1" applyAlignment="1">
      <alignment vertical="center" wrapText="1"/>
    </xf>
    <xf numFmtId="0" fontId="5" fillId="3" borderId="1" xfId="0" applyFont="1" applyFill="1" applyBorder="1" applyAlignment="1">
      <alignment vertical="center" wrapText="1"/>
    </xf>
    <xf numFmtId="164" fontId="0" fillId="0" borderId="1" xfId="0" applyNumberFormat="1" applyBorder="1" applyAlignment="1">
      <alignment vertical="center" wrapText="1"/>
    </xf>
    <xf numFmtId="10" fontId="0" fillId="0" borderId="1" xfId="0" applyNumberFormat="1" applyBorder="1" applyAlignment="1">
      <alignment vertical="center" wrapText="1"/>
    </xf>
    <xf numFmtId="165" fontId="0" fillId="0" borderId="1" xfId="0" applyNumberFormat="1" applyBorder="1" applyAlignment="1">
      <alignment vertical="center" wrapText="1"/>
    </xf>
    <xf numFmtId="0" fontId="0" fillId="0" borderId="0" xfId="0" applyAlignment="1">
      <alignment vertical="center" wrapText="1"/>
    </xf>
    <xf numFmtId="0" fontId="0" fillId="0" borderId="0" xfId="0" applyFill="1" applyBorder="1" applyAlignment="1">
      <alignment vertical="center" wrapText="1"/>
    </xf>
    <xf numFmtId="0" fontId="6" fillId="0" borderId="0" xfId="0" applyFont="1"/>
    <xf numFmtId="0" fontId="6" fillId="0" borderId="2" xfId="0" applyFont="1" applyBorder="1"/>
    <xf numFmtId="171" fontId="6" fillId="0" borderId="2" xfId="0" applyNumberFormat="1" applyFont="1" applyBorder="1" applyAlignment="1">
      <alignment horizontal="right"/>
    </xf>
    <xf numFmtId="0" fontId="0" fillId="0" borderId="2" xfId="0" applyBorder="1"/>
    <xf numFmtId="3" fontId="0" fillId="0" borderId="2" xfId="0" applyNumberFormat="1" applyBorder="1"/>
    <xf numFmtId="0" fontId="7" fillId="3" borderId="1" xfId="0" applyFont="1" applyFill="1" applyBorder="1" applyAlignment="1">
      <alignment vertical="center" wrapText="1"/>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0" fontId="6" fillId="5" borderId="3" xfId="0" applyFont="1" applyFill="1" applyBorder="1" applyAlignment="1">
      <alignment horizontal="center" vertical="center" wrapText="1"/>
    </xf>
    <xf numFmtId="0" fontId="5" fillId="4" borderId="0" xfId="0" applyFont="1" applyFill="1" applyBorder="1" applyAlignment="1">
      <alignment vertical="center" wrapText="1"/>
    </xf>
    <xf numFmtId="0" fontId="0" fillId="0" borderId="0" xfId="0" applyBorder="1" applyAlignment="1">
      <alignment vertical="center" wrapText="1"/>
    </xf>
    <xf numFmtId="0" fontId="6" fillId="0" borderId="2" xfId="0" applyFont="1" applyFill="1" applyBorder="1" applyAlignment="1">
      <alignment vertical="center" wrapText="1"/>
    </xf>
    <xf numFmtId="0" fontId="6" fillId="0" borderId="2" xfId="0" applyFont="1" applyBorder="1" applyAlignment="1">
      <alignment horizontal="right"/>
    </xf>
    <xf numFmtId="3" fontId="6" fillId="0" borderId="2" xfId="0" applyNumberFormat="1" applyFont="1" applyBorder="1"/>
    <xf numFmtId="0" fontId="5" fillId="3" borderId="4" xfId="0" applyFont="1" applyFill="1" applyBorder="1" applyAlignment="1">
      <alignment vertical="center" wrapText="1"/>
    </xf>
    <xf numFmtId="0" fontId="5" fillId="3" borderId="5" xfId="0" applyFont="1" applyFill="1" applyBorder="1" applyAlignment="1">
      <alignment vertical="center" wrapText="1"/>
    </xf>
    <xf numFmtId="0" fontId="0" fillId="0" borderId="2" xfId="0" applyBorder="1" applyAlignment="1">
      <alignment vertical="center" wrapText="1"/>
    </xf>
    <xf numFmtId="165" fontId="0" fillId="0" borderId="2" xfId="0" applyNumberFormat="1" applyBorder="1" applyAlignment="1">
      <alignment vertical="center" wrapText="1"/>
    </xf>
    <xf numFmtId="0" fontId="6" fillId="0" borderId="2" xfId="0" applyFont="1" applyBorder="1" applyAlignment="1">
      <alignment vertical="center" wrapText="1"/>
    </xf>
    <xf numFmtId="165" fontId="6" fillId="0" borderId="2" xfId="0" applyNumberFormat="1" applyFont="1" applyBorder="1" applyAlignment="1">
      <alignment vertical="center" wrapText="1"/>
    </xf>
    <xf numFmtId="3" fontId="6" fillId="0" borderId="2" xfId="0" applyNumberFormat="1" applyFont="1" applyBorder="1" applyAlignment="1">
      <alignment vertical="center" wrapText="1"/>
    </xf>
    <xf numFmtId="0" fontId="0" fillId="5" borderId="0" xfId="0" applyFill="1" applyAlignment="1">
      <alignment horizontal="center" vertical="center" wrapText="1"/>
    </xf>
    <xf numFmtId="0" fontId="0" fillId="4" borderId="0" xfId="0" applyFill="1" applyAlignment="1">
      <alignment vertical="center" wrapText="1"/>
    </xf>
    <xf numFmtId="0" fontId="6" fillId="4" borderId="0" xfId="0" applyFont="1" applyFill="1" applyAlignment="1">
      <alignment vertical="center" wrapText="1"/>
    </xf>
    <xf numFmtId="165" fontId="6" fillId="0" borderId="6" xfId="0" applyNumberFormat="1" applyFont="1" applyBorder="1" applyAlignment="1">
      <alignment vertical="center" wrapText="1"/>
    </xf>
    <xf numFmtId="165" fontId="0" fillId="0" borderId="6" xfId="0" applyNumberFormat="1" applyBorder="1" applyAlignment="1">
      <alignment vertical="center" wrapText="1"/>
    </xf>
    <xf numFmtId="0" fontId="6" fillId="0" borderId="0" xfId="0" applyFont="1" applyBorder="1" applyAlignment="1">
      <alignment vertical="center" wrapText="1"/>
    </xf>
    <xf numFmtId="0" fontId="0" fillId="0" borderId="0" xfId="0" applyAlignment="1">
      <alignment horizontal="left" vertical="top"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workbookViewId="0">
      <pane ySplit="2" topLeftCell="A3" activePane="bottomLeft" state="frozen"/>
      <selection pane="bottomLeft" activeCell="F5" sqref="F5"/>
    </sheetView>
  </sheetViews>
  <sheetFormatPr defaultRowHeight="14.4" x14ac:dyDescent="0.3"/>
  <cols>
    <col min="1" max="2" width="42" customWidth="1"/>
    <col min="3" max="6" width="12" customWidth="1"/>
  </cols>
  <sheetData>
    <row r="1" spans="1:6" ht="51.6" customHeight="1" x14ac:dyDescent="0.3">
      <c r="A1" s="39" t="s">
        <v>0</v>
      </c>
      <c r="B1" s="39"/>
      <c r="C1" s="1"/>
      <c r="D1" s="1"/>
      <c r="E1" s="1"/>
      <c r="F1" s="1"/>
    </row>
    <row r="2" spans="1:6" x14ac:dyDescent="0.3">
      <c r="A2" s="1"/>
      <c r="B2" s="1"/>
      <c r="C2" s="1"/>
      <c r="D2" s="1"/>
      <c r="E2" s="1"/>
      <c r="F2" s="1"/>
    </row>
    <row r="3" spans="1:6" ht="36" customHeight="1" x14ac:dyDescent="0.3">
      <c r="A3" s="40" t="s">
        <v>1</v>
      </c>
      <c r="B3" s="40"/>
      <c r="C3" s="1"/>
      <c r="D3" s="1"/>
      <c r="E3" s="1"/>
      <c r="F3" s="1"/>
    </row>
    <row r="4" spans="1:6" x14ac:dyDescent="0.3">
      <c r="A4" s="1"/>
      <c r="B4" s="1"/>
      <c r="C4" s="1"/>
      <c r="D4" s="1"/>
      <c r="E4" s="1"/>
      <c r="F4" s="1"/>
    </row>
    <row r="5" spans="1:6" x14ac:dyDescent="0.3">
      <c r="A5" s="2" t="s">
        <v>2</v>
      </c>
      <c r="B5" s="3" t="s">
        <v>3</v>
      </c>
      <c r="C5" s="1"/>
      <c r="D5" s="1"/>
      <c r="E5" s="1"/>
      <c r="F5" s="1"/>
    </row>
    <row r="6" spans="1:6" ht="28.8" x14ac:dyDescent="0.3">
      <c r="A6" s="2" t="s">
        <v>4</v>
      </c>
      <c r="B6" s="3" t="s">
        <v>5</v>
      </c>
      <c r="C6" s="1"/>
      <c r="D6" s="1"/>
      <c r="E6" s="1"/>
      <c r="F6" s="1"/>
    </row>
    <row r="7" spans="1:6" ht="28.8" x14ac:dyDescent="0.3">
      <c r="A7" s="2" t="s">
        <v>6</v>
      </c>
      <c r="B7" s="3" t="s">
        <v>7</v>
      </c>
      <c r="C7" s="1"/>
      <c r="D7" s="1"/>
      <c r="E7" s="1"/>
      <c r="F7" s="1"/>
    </row>
    <row r="8" spans="1:6" x14ac:dyDescent="0.3">
      <c r="A8" s="2" t="s">
        <v>8</v>
      </c>
      <c r="B8" s="3" t="s">
        <v>9</v>
      </c>
      <c r="C8" s="1"/>
      <c r="D8" s="1"/>
      <c r="E8" s="1"/>
      <c r="F8" s="1"/>
    </row>
    <row r="9" spans="1:6" x14ac:dyDescent="0.3">
      <c r="A9" s="2" t="s">
        <v>10</v>
      </c>
      <c r="B9" s="3" t="s">
        <v>11</v>
      </c>
      <c r="C9" s="1"/>
      <c r="D9" s="1"/>
      <c r="E9" s="1"/>
      <c r="F9" s="1"/>
    </row>
    <row r="10" spans="1:6" x14ac:dyDescent="0.3">
      <c r="A10" s="1"/>
      <c r="B10" s="1"/>
      <c r="C10" s="1"/>
      <c r="D10" s="1"/>
      <c r="E10" s="1"/>
      <c r="F10" s="1"/>
    </row>
    <row r="11" spans="1:6" x14ac:dyDescent="0.3">
      <c r="A11" s="1"/>
      <c r="B11" s="1"/>
      <c r="C11" s="1"/>
      <c r="D11" s="1"/>
      <c r="E11" s="1"/>
      <c r="F11" s="1"/>
    </row>
    <row r="12" spans="1:6" x14ac:dyDescent="0.3">
      <c r="A12" s="4" t="s">
        <v>12</v>
      </c>
      <c r="B12" s="1"/>
      <c r="C12" s="1"/>
      <c r="D12" s="1"/>
      <c r="E12" s="1"/>
      <c r="F12" s="1"/>
    </row>
    <row r="13" spans="1:6" x14ac:dyDescent="0.3">
      <c r="A13" s="9" t="s">
        <v>13</v>
      </c>
      <c r="B13" s="9"/>
      <c r="C13" s="9"/>
      <c r="D13" s="9"/>
      <c r="E13" s="9"/>
      <c r="F13" s="9"/>
    </row>
    <row r="14" spans="1:6" x14ac:dyDescent="0.3">
      <c r="A14" s="9"/>
      <c r="B14" s="9"/>
      <c r="C14" s="9"/>
      <c r="D14" s="9"/>
      <c r="E14" s="9"/>
      <c r="F14" s="9"/>
    </row>
    <row r="15" spans="1:6" x14ac:dyDescent="0.3">
      <c r="A15" s="9"/>
      <c r="B15" s="9"/>
      <c r="C15" s="9"/>
      <c r="D15" s="9"/>
      <c r="E15" s="9"/>
      <c r="F15" s="9"/>
    </row>
    <row r="16" spans="1:6" x14ac:dyDescent="0.3">
      <c r="A16" s="11" t="s">
        <v>122</v>
      </c>
    </row>
    <row r="17" spans="1:6" x14ac:dyDescent="0.3">
      <c r="A17" s="38" t="s">
        <v>123</v>
      </c>
      <c r="B17" s="38"/>
      <c r="C17" s="38"/>
      <c r="D17" s="38"/>
      <c r="E17" s="38"/>
      <c r="F17" s="38"/>
    </row>
    <row r="18" spans="1:6" x14ac:dyDescent="0.3">
      <c r="A18" s="38"/>
      <c r="B18" s="38"/>
      <c r="C18" s="38"/>
      <c r="D18" s="38"/>
      <c r="E18" s="38"/>
      <c r="F18" s="38"/>
    </row>
    <row r="19" spans="1:6" x14ac:dyDescent="0.3">
      <c r="A19" s="38"/>
      <c r="B19" s="38"/>
      <c r="C19" s="38"/>
      <c r="D19" s="38"/>
      <c r="E19" s="38"/>
      <c r="F19" s="38"/>
    </row>
  </sheetData>
  <mergeCells count="4">
    <mergeCell ref="A13:F15"/>
    <mergeCell ref="A17:F19"/>
    <mergeCell ref="A1:B1"/>
    <mergeCell ref="A3:B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pane ySplit="2" topLeftCell="A3" activePane="bottomLeft" state="frozen"/>
      <selection pane="bottomLeft"/>
    </sheetView>
  </sheetViews>
  <sheetFormatPr defaultRowHeight="14.4" x14ac:dyDescent="0.3"/>
  <cols>
    <col min="1" max="1" width="36" customWidth="1"/>
    <col min="2" max="2" width="14" customWidth="1"/>
    <col min="3" max="3" width="37" customWidth="1"/>
    <col min="4" max="4" width="12" customWidth="1"/>
  </cols>
  <sheetData>
    <row r="1" spans="1:4" x14ac:dyDescent="0.3">
      <c r="A1" s="1" t="s">
        <v>14</v>
      </c>
      <c r="B1" s="1"/>
      <c r="C1" s="1"/>
      <c r="D1" s="1"/>
    </row>
    <row r="2" spans="1:4" x14ac:dyDescent="0.3">
      <c r="A2" s="5" t="s">
        <v>15</v>
      </c>
      <c r="B2" s="5" t="s">
        <v>16</v>
      </c>
      <c r="C2" s="5" t="s">
        <v>17</v>
      </c>
      <c r="D2" s="5" t="s">
        <v>18</v>
      </c>
    </row>
    <row r="3" spans="1:4" x14ac:dyDescent="0.3">
      <c r="A3" s="3" t="s">
        <v>19</v>
      </c>
      <c r="B3" s="6">
        <v>12570</v>
      </c>
      <c r="C3" s="3" t="s">
        <v>20</v>
      </c>
      <c r="D3" s="3" t="s">
        <v>21</v>
      </c>
    </row>
    <row r="4" spans="1:4" x14ac:dyDescent="0.3">
      <c r="A4" s="3" t="s">
        <v>22</v>
      </c>
      <c r="B4" s="7">
        <v>0.2</v>
      </c>
      <c r="C4" s="3" t="s">
        <v>23</v>
      </c>
      <c r="D4" s="3" t="s">
        <v>21</v>
      </c>
    </row>
    <row r="5" spans="1:4" x14ac:dyDescent="0.3">
      <c r="A5" s="3" t="s">
        <v>24</v>
      </c>
      <c r="B5" s="6">
        <v>37700</v>
      </c>
      <c r="C5" s="3" t="s">
        <v>25</v>
      </c>
      <c r="D5" s="3" t="s">
        <v>21</v>
      </c>
    </row>
    <row r="6" spans="1:4" x14ac:dyDescent="0.3">
      <c r="A6" s="3" t="s">
        <v>26</v>
      </c>
      <c r="B6" s="7">
        <v>0.4</v>
      </c>
      <c r="C6" s="3" t="s">
        <v>27</v>
      </c>
      <c r="D6" s="3" t="s">
        <v>21</v>
      </c>
    </row>
    <row r="7" spans="1:4" x14ac:dyDescent="0.3">
      <c r="A7" s="3" t="s">
        <v>28</v>
      </c>
      <c r="B7" s="6">
        <v>0.45</v>
      </c>
      <c r="C7" s="3" t="s">
        <v>29</v>
      </c>
      <c r="D7" s="3" t="s">
        <v>21</v>
      </c>
    </row>
    <row r="8" spans="1:4" x14ac:dyDescent="0.3">
      <c r="A8" s="3" t="s">
        <v>30</v>
      </c>
      <c r="B8" s="6">
        <v>100000</v>
      </c>
      <c r="C8" s="3" t="s">
        <v>31</v>
      </c>
      <c r="D8" s="3" t="s">
        <v>21</v>
      </c>
    </row>
    <row r="9" spans="1:4" x14ac:dyDescent="0.3">
      <c r="A9" s="3" t="s">
        <v>32</v>
      </c>
      <c r="B9" s="7">
        <v>0.19</v>
      </c>
      <c r="C9" s="3" t="s">
        <v>33</v>
      </c>
      <c r="D9" s="3" t="s">
        <v>21</v>
      </c>
    </row>
    <row r="10" spans="1:4" x14ac:dyDescent="0.3">
      <c r="A10" s="3" t="s">
        <v>34</v>
      </c>
      <c r="B10" s="7">
        <v>0.25</v>
      </c>
      <c r="C10" s="3" t="s">
        <v>35</v>
      </c>
      <c r="D10" s="3" t="s">
        <v>21</v>
      </c>
    </row>
    <row r="11" spans="1:4" x14ac:dyDescent="0.3">
      <c r="A11" s="3" t="s">
        <v>36</v>
      </c>
      <c r="B11" s="6">
        <v>50000</v>
      </c>
      <c r="C11" s="3" t="s">
        <v>37</v>
      </c>
      <c r="D11" s="3" t="s">
        <v>21</v>
      </c>
    </row>
    <row r="12" spans="1:4" x14ac:dyDescent="0.3">
      <c r="A12" s="3" t="s">
        <v>38</v>
      </c>
      <c r="B12" s="6">
        <v>250000</v>
      </c>
      <c r="C12" s="3" t="s">
        <v>39</v>
      </c>
      <c r="D12" s="3" t="s">
        <v>21</v>
      </c>
    </row>
    <row r="13" spans="1:4" x14ac:dyDescent="0.3">
      <c r="A13" s="3" t="s">
        <v>40</v>
      </c>
      <c r="B13" s="7">
        <v>1.4999999999999999E-2</v>
      </c>
      <c r="C13" s="3" t="s">
        <v>41</v>
      </c>
      <c r="D13" s="3" t="s">
        <v>21</v>
      </c>
    </row>
    <row r="14" spans="1:4" x14ac:dyDescent="0.3">
      <c r="A14" s="3" t="s">
        <v>42</v>
      </c>
      <c r="B14" s="6">
        <v>1000000</v>
      </c>
      <c r="C14" s="3" t="s">
        <v>43</v>
      </c>
      <c r="D14" s="3" t="s">
        <v>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pane ySplit="2" topLeftCell="A3" activePane="bottomLeft" state="frozen"/>
      <selection pane="bottomLeft" activeCell="B19" sqref="B19"/>
    </sheetView>
  </sheetViews>
  <sheetFormatPr defaultRowHeight="14.4" x14ac:dyDescent="0.3"/>
  <cols>
    <col min="1" max="1" width="37" customWidth="1"/>
    <col min="2" max="2" width="28" customWidth="1"/>
    <col min="3" max="3" width="32" customWidth="1"/>
    <col min="4" max="4" width="21" customWidth="1"/>
  </cols>
  <sheetData>
    <row r="1" spans="1:4" x14ac:dyDescent="0.3">
      <c r="A1" s="17" t="s">
        <v>44</v>
      </c>
      <c r="B1" s="17"/>
      <c r="C1" s="17"/>
      <c r="D1" s="17"/>
    </row>
    <row r="2" spans="1:4" x14ac:dyDescent="0.3">
      <c r="A2" s="29" t="s">
        <v>45</v>
      </c>
      <c r="B2" s="29" t="s">
        <v>46</v>
      </c>
      <c r="C2" s="1"/>
      <c r="D2" s="1"/>
    </row>
    <row r="3" spans="1:4" x14ac:dyDescent="0.3">
      <c r="A3" s="29" t="s">
        <v>47</v>
      </c>
      <c r="B3" s="29" t="s">
        <v>48</v>
      </c>
      <c r="C3" s="1"/>
      <c r="D3" s="1"/>
    </row>
    <row r="4" spans="1:4" x14ac:dyDescent="0.3">
      <c r="A4" s="29" t="s">
        <v>2</v>
      </c>
      <c r="B4" s="29" t="s">
        <v>3</v>
      </c>
      <c r="C4" s="1"/>
      <c r="D4" s="1"/>
    </row>
    <row r="5" spans="1:4" x14ac:dyDescent="0.3">
      <c r="A5" s="1"/>
      <c r="B5" s="1"/>
      <c r="C5" s="1"/>
      <c r="D5" s="1"/>
    </row>
    <row r="6" spans="1:4" x14ac:dyDescent="0.3">
      <c r="A6" s="5" t="s">
        <v>15</v>
      </c>
      <c r="B6" s="5" t="s">
        <v>49</v>
      </c>
      <c r="C6" s="5" t="s">
        <v>50</v>
      </c>
      <c r="D6" s="5" t="s">
        <v>51</v>
      </c>
    </row>
    <row r="7" spans="1:4" x14ac:dyDescent="0.3">
      <c r="A7" s="3" t="s">
        <v>52</v>
      </c>
      <c r="B7" s="8">
        <v>78400</v>
      </c>
      <c r="C7" s="3" t="s">
        <v>53</v>
      </c>
      <c r="D7" s="3" t="s">
        <v>54</v>
      </c>
    </row>
    <row r="8" spans="1:4" x14ac:dyDescent="0.3">
      <c r="A8" s="3" t="s">
        <v>55</v>
      </c>
      <c r="B8" s="8">
        <v>6200</v>
      </c>
      <c r="C8" s="3" t="s">
        <v>56</v>
      </c>
      <c r="D8" s="3" t="s">
        <v>57</v>
      </c>
    </row>
    <row r="9" spans="1:4" x14ac:dyDescent="0.3">
      <c r="A9" s="3" t="s">
        <v>58</v>
      </c>
      <c r="B9" s="8">
        <v>1500</v>
      </c>
      <c r="C9" s="3" t="s">
        <v>59</v>
      </c>
      <c r="D9" s="3" t="s">
        <v>57</v>
      </c>
    </row>
    <row r="10" spans="1:4" x14ac:dyDescent="0.3">
      <c r="A10" s="3" t="s">
        <v>60</v>
      </c>
      <c r="B10" s="8">
        <v>450</v>
      </c>
      <c r="C10" s="3" t="s">
        <v>61</v>
      </c>
      <c r="D10" s="3" t="s">
        <v>57</v>
      </c>
    </row>
    <row r="11" spans="1:4" x14ac:dyDescent="0.3">
      <c r="A11" s="3" t="s">
        <v>62</v>
      </c>
      <c r="B11" s="8">
        <v>1250</v>
      </c>
      <c r="C11" s="3" t="s">
        <v>63</v>
      </c>
      <c r="D11" s="3" t="s">
        <v>57</v>
      </c>
    </row>
    <row r="12" spans="1:4" x14ac:dyDescent="0.3">
      <c r="A12" s="3" t="s">
        <v>64</v>
      </c>
      <c r="B12" s="8">
        <v>8000</v>
      </c>
      <c r="C12" s="3" t="s">
        <v>65</v>
      </c>
      <c r="D12" s="3" t="s">
        <v>66</v>
      </c>
    </row>
    <row r="13" spans="1:4" x14ac:dyDescent="0.3">
      <c r="A13" s="3" t="s">
        <v>67</v>
      </c>
      <c r="B13" s="8">
        <v>8000</v>
      </c>
      <c r="C13" s="3" t="s">
        <v>68</v>
      </c>
      <c r="D13" s="3" t="s">
        <v>69</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pane ySplit="2" topLeftCell="A3" activePane="bottomLeft" state="frozen"/>
      <selection pane="bottomLeft" activeCell="C17" sqref="C17"/>
    </sheetView>
  </sheetViews>
  <sheetFormatPr defaultRowHeight="14.4" x14ac:dyDescent="0.3"/>
  <cols>
    <col min="1" max="1" width="38" customWidth="1"/>
    <col min="2" max="2" width="32" customWidth="1"/>
    <col min="3" max="3" width="38" customWidth="1"/>
    <col min="4" max="4" width="18.5546875" customWidth="1"/>
  </cols>
  <sheetData>
    <row r="1" spans="1:4" ht="14.4" customHeight="1" x14ac:dyDescent="0.3">
      <c r="A1" s="18" t="s">
        <v>70</v>
      </c>
      <c r="B1" s="18"/>
      <c r="C1" s="37"/>
    </row>
    <row r="2" spans="1:4" x14ac:dyDescent="0.3">
      <c r="A2" s="25"/>
      <c r="B2" s="26"/>
      <c r="C2" s="20"/>
    </row>
    <row r="3" spans="1:4" x14ac:dyDescent="0.3">
      <c r="A3" s="29" t="s">
        <v>52</v>
      </c>
      <c r="B3" s="35">
        <f>'Individual Source Data'!B7</f>
        <v>78400</v>
      </c>
      <c r="C3" s="21"/>
    </row>
    <row r="4" spans="1:4" x14ac:dyDescent="0.3">
      <c r="A4" s="27" t="s">
        <v>71</v>
      </c>
      <c r="B4" s="36">
        <f>'Individual Source Data'!B8</f>
        <v>6200</v>
      </c>
      <c r="C4" s="21"/>
    </row>
    <row r="5" spans="1:4" x14ac:dyDescent="0.3">
      <c r="A5" s="27" t="s">
        <v>72</v>
      </c>
      <c r="B5" s="36">
        <f>'Individual Source Data'!B9</f>
        <v>1500</v>
      </c>
      <c r="C5" s="21"/>
    </row>
    <row r="6" spans="1:4" x14ac:dyDescent="0.3">
      <c r="A6" s="27" t="s">
        <v>73</v>
      </c>
      <c r="B6" s="36">
        <f>'Individual Source Data'!B10</f>
        <v>450</v>
      </c>
      <c r="C6" s="21"/>
    </row>
    <row r="7" spans="1:4" x14ac:dyDescent="0.3">
      <c r="A7" s="27" t="s">
        <v>74</v>
      </c>
      <c r="B7" s="36">
        <f>'Individual Source Data'!B11</f>
        <v>1250</v>
      </c>
      <c r="C7" s="21"/>
    </row>
    <row r="8" spans="1:4" x14ac:dyDescent="0.3">
      <c r="A8" s="27" t="s">
        <v>75</v>
      </c>
      <c r="B8" s="36">
        <f>-'Individual Source Data'!B13</f>
        <v>-8000</v>
      </c>
      <c r="C8" s="21"/>
    </row>
    <row r="9" spans="1:4" x14ac:dyDescent="0.3">
      <c r="A9" s="29" t="s">
        <v>76</v>
      </c>
      <c r="B9" s="35">
        <f>SUM(B3:B8)</f>
        <v>79800</v>
      </c>
      <c r="C9" s="21"/>
    </row>
    <row r="10" spans="1:4" x14ac:dyDescent="0.3">
      <c r="A10" s="27" t="s">
        <v>77</v>
      </c>
      <c r="B10" s="36">
        <f>-'Tax Rates'!B3</f>
        <v>-12570</v>
      </c>
      <c r="C10" s="21"/>
    </row>
    <row r="11" spans="1:4" x14ac:dyDescent="0.3">
      <c r="A11" s="29" t="s">
        <v>78</v>
      </c>
      <c r="B11" s="35">
        <f>SUM(B9:B10)</f>
        <v>67230</v>
      </c>
      <c r="C11" s="21"/>
    </row>
    <row r="13" spans="1:4" x14ac:dyDescent="0.3">
      <c r="A13" s="12" t="s">
        <v>108</v>
      </c>
      <c r="B13" s="13" t="s">
        <v>115</v>
      </c>
    </row>
    <row r="14" spans="1:4" x14ac:dyDescent="0.3">
      <c r="A14" s="14" t="s">
        <v>109</v>
      </c>
      <c r="B14" s="15">
        <v>67230</v>
      </c>
      <c r="D14" s="10"/>
    </row>
    <row r="15" spans="1:4" x14ac:dyDescent="0.3">
      <c r="A15" s="14" t="s">
        <v>110</v>
      </c>
      <c r="B15" s="15">
        <v>37700</v>
      </c>
    </row>
    <row r="16" spans="1:4" x14ac:dyDescent="0.3">
      <c r="A16" s="12" t="s">
        <v>111</v>
      </c>
      <c r="B16" s="12">
        <f>B15*20%</f>
        <v>7540</v>
      </c>
    </row>
    <row r="17" spans="1:2" x14ac:dyDescent="0.3">
      <c r="A17" s="14" t="s">
        <v>112</v>
      </c>
      <c r="B17" s="15">
        <v>29530</v>
      </c>
    </row>
    <row r="18" spans="1:2" x14ac:dyDescent="0.3">
      <c r="A18" s="12" t="s">
        <v>113</v>
      </c>
      <c r="B18" s="12">
        <f>B17*40%</f>
        <v>11812</v>
      </c>
    </row>
    <row r="19" spans="1:2" x14ac:dyDescent="0.3">
      <c r="A19" s="12" t="s">
        <v>114</v>
      </c>
      <c r="B19" s="12">
        <f>B16+B18</f>
        <v>19352</v>
      </c>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workbookViewId="0">
      <pane ySplit="2" topLeftCell="A3" activePane="bottomLeft" state="frozen"/>
      <selection pane="bottomLeft" activeCell="B8" sqref="B8"/>
    </sheetView>
  </sheetViews>
  <sheetFormatPr defaultRowHeight="14.4" x14ac:dyDescent="0.3"/>
  <cols>
    <col min="1" max="1" width="28" customWidth="1"/>
    <col min="2" max="2" width="42" customWidth="1"/>
    <col min="3" max="4" width="12" customWidth="1"/>
  </cols>
  <sheetData>
    <row r="1" spans="1:4" ht="28.8" x14ac:dyDescent="0.3">
      <c r="A1" s="1" t="s">
        <v>79</v>
      </c>
      <c r="B1" s="1"/>
      <c r="C1" s="1"/>
      <c r="D1" s="1"/>
    </row>
    <row r="2" spans="1:4" x14ac:dyDescent="0.3">
      <c r="A2" s="5" t="s">
        <v>80</v>
      </c>
      <c r="B2" s="5" t="s">
        <v>81</v>
      </c>
      <c r="C2" s="5" t="s">
        <v>82</v>
      </c>
      <c r="D2" s="5" t="s">
        <v>83</v>
      </c>
    </row>
    <row r="3" spans="1:4" x14ac:dyDescent="0.3">
      <c r="A3" s="3" t="s">
        <v>84</v>
      </c>
      <c r="B3" s="8">
        <v>8000</v>
      </c>
      <c r="C3" s="3" t="s">
        <v>85</v>
      </c>
      <c r="D3" s="8">
        <f>B3</f>
        <v>8000</v>
      </c>
    </row>
    <row r="4" spans="1:4" x14ac:dyDescent="0.3">
      <c r="A4" s="1"/>
      <c r="B4" s="1"/>
      <c r="C4" s="1"/>
      <c r="D4" s="1"/>
    </row>
    <row r="5" spans="1:4" x14ac:dyDescent="0.3">
      <c r="A5" s="1" t="s">
        <v>86</v>
      </c>
      <c r="B5" s="9" t="s">
        <v>87</v>
      </c>
      <c r="C5" s="9"/>
      <c r="D5" s="9"/>
    </row>
    <row r="6" spans="1:4" x14ac:dyDescent="0.3">
      <c r="A6" s="1"/>
      <c r="B6" s="9"/>
      <c r="C6" s="9"/>
      <c r="D6" s="9"/>
    </row>
  </sheetData>
  <mergeCells count="1">
    <mergeCell ref="B5:D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pane ySplit="2" topLeftCell="A3" activePane="bottomLeft" state="frozen"/>
      <selection pane="bottomLeft"/>
    </sheetView>
  </sheetViews>
  <sheetFormatPr defaultRowHeight="14.4" x14ac:dyDescent="0.3"/>
  <cols>
    <col min="1" max="1" width="42" customWidth="1"/>
    <col min="2" max="2" width="35" customWidth="1"/>
    <col min="3" max="3" width="32" customWidth="1"/>
    <col min="4" max="4" width="21" customWidth="1"/>
  </cols>
  <sheetData>
    <row r="1" spans="1:4" x14ac:dyDescent="0.3">
      <c r="A1" s="1" t="s">
        <v>88</v>
      </c>
      <c r="B1" s="1"/>
      <c r="C1" s="1"/>
      <c r="D1" s="1"/>
    </row>
    <row r="2" spans="1:4" x14ac:dyDescent="0.3">
      <c r="A2" s="1" t="s">
        <v>89</v>
      </c>
      <c r="B2" s="1" t="s">
        <v>90</v>
      </c>
      <c r="C2" s="1"/>
      <c r="D2" s="1"/>
    </row>
    <row r="3" spans="1:4" x14ac:dyDescent="0.3">
      <c r="A3" s="1" t="s">
        <v>91</v>
      </c>
      <c r="B3" s="1" t="s">
        <v>92</v>
      </c>
      <c r="C3" s="1"/>
      <c r="D3" s="1"/>
    </row>
    <row r="4" spans="1:4" x14ac:dyDescent="0.3">
      <c r="A4" s="1" t="s">
        <v>47</v>
      </c>
      <c r="B4" s="1" t="s">
        <v>93</v>
      </c>
      <c r="C4" s="1"/>
      <c r="D4" s="1"/>
    </row>
    <row r="5" spans="1:4" x14ac:dyDescent="0.3">
      <c r="A5" s="1"/>
      <c r="B5" s="1"/>
      <c r="C5" s="1"/>
      <c r="D5" s="1"/>
    </row>
    <row r="6" spans="1:4" x14ac:dyDescent="0.3">
      <c r="A6" s="5" t="s">
        <v>15</v>
      </c>
      <c r="B6" s="5" t="s">
        <v>49</v>
      </c>
      <c r="C6" s="5" t="s">
        <v>50</v>
      </c>
      <c r="D6" s="5" t="s">
        <v>51</v>
      </c>
    </row>
    <row r="7" spans="1:4" x14ac:dyDescent="0.3">
      <c r="A7" s="3" t="s">
        <v>94</v>
      </c>
      <c r="B7" s="8">
        <v>210000</v>
      </c>
      <c r="C7" s="3" t="s">
        <v>53</v>
      </c>
      <c r="D7" s="3" t="s">
        <v>54</v>
      </c>
    </row>
    <row r="8" spans="1:4" x14ac:dyDescent="0.3">
      <c r="A8" s="3" t="s">
        <v>55</v>
      </c>
      <c r="B8" s="8">
        <v>25000</v>
      </c>
      <c r="C8" s="3" t="s">
        <v>56</v>
      </c>
      <c r="D8" s="3" t="s">
        <v>57</v>
      </c>
    </row>
    <row r="9" spans="1:4" x14ac:dyDescent="0.3">
      <c r="A9" s="3" t="s">
        <v>58</v>
      </c>
      <c r="B9" s="8">
        <v>4000</v>
      </c>
      <c r="C9" s="3" t="s">
        <v>61</v>
      </c>
      <c r="D9" s="3" t="s">
        <v>57</v>
      </c>
    </row>
    <row r="10" spans="1:4" x14ac:dyDescent="0.3">
      <c r="A10" s="3" t="s">
        <v>95</v>
      </c>
      <c r="B10" s="8">
        <v>3000</v>
      </c>
      <c r="C10" s="3" t="s">
        <v>66</v>
      </c>
      <c r="D10" s="3" t="s">
        <v>57</v>
      </c>
    </row>
    <row r="11" spans="1:4" x14ac:dyDescent="0.3">
      <c r="A11" s="3" t="s">
        <v>96</v>
      </c>
      <c r="B11" s="8">
        <v>20000</v>
      </c>
      <c r="C11" s="3" t="s">
        <v>65</v>
      </c>
      <c r="D11" s="3" t="s">
        <v>66</v>
      </c>
    </row>
    <row r="12" spans="1:4" x14ac:dyDescent="0.3">
      <c r="A12" s="3" t="s">
        <v>67</v>
      </c>
      <c r="B12" s="8">
        <v>20000</v>
      </c>
      <c r="C12" s="3" t="s">
        <v>68</v>
      </c>
      <c r="D12" s="3" t="s">
        <v>69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8"/>
  <sheetViews>
    <sheetView workbookViewId="0">
      <pane ySplit="2" topLeftCell="A3" activePane="bottomLeft" state="frozen"/>
      <selection pane="bottomLeft" activeCell="H23" sqref="H23"/>
    </sheetView>
  </sheetViews>
  <sheetFormatPr defaultRowHeight="14.4" x14ac:dyDescent="0.3"/>
  <cols>
    <col min="1" max="1" width="42" customWidth="1"/>
    <col min="2" max="2" width="29" customWidth="1"/>
    <col min="3" max="3" width="42" customWidth="1"/>
  </cols>
  <sheetData>
    <row r="1" spans="1:3" ht="28.8" customHeight="1" x14ac:dyDescent="0.3">
      <c r="A1" s="19" t="s">
        <v>97</v>
      </c>
      <c r="B1" s="19"/>
      <c r="C1" s="1"/>
    </row>
    <row r="2" spans="1:3" x14ac:dyDescent="0.3">
      <c r="A2" s="25"/>
      <c r="B2" s="26"/>
      <c r="C2" s="20"/>
    </row>
    <row r="3" spans="1:3" x14ac:dyDescent="0.3">
      <c r="A3" s="29" t="s">
        <v>94</v>
      </c>
      <c r="B3" s="30">
        <f>'Company Source Data'!B7</f>
        <v>210000</v>
      </c>
      <c r="C3" s="21"/>
    </row>
    <row r="4" spans="1:3" x14ac:dyDescent="0.3">
      <c r="A4" s="27" t="s">
        <v>71</v>
      </c>
      <c r="B4" s="28">
        <f>'Company Source Data'!B8</f>
        <v>25000</v>
      </c>
      <c r="C4" s="21"/>
    </row>
    <row r="5" spans="1:3" x14ac:dyDescent="0.3">
      <c r="A5" s="27" t="s">
        <v>72</v>
      </c>
      <c r="B5" s="28">
        <f>'Company Source Data'!B9</f>
        <v>4000</v>
      </c>
      <c r="C5" s="21"/>
    </row>
    <row r="6" spans="1:3" x14ac:dyDescent="0.3">
      <c r="A6" s="27" t="s">
        <v>98</v>
      </c>
      <c r="B6" s="28">
        <f>'Company Source Data'!B10</f>
        <v>3000</v>
      </c>
      <c r="C6" s="21"/>
    </row>
    <row r="7" spans="1:3" x14ac:dyDescent="0.3">
      <c r="A7" s="27" t="s">
        <v>75</v>
      </c>
      <c r="B7" s="28">
        <f>-'Company Source Data'!B12</f>
        <v>-20000</v>
      </c>
      <c r="C7" s="21"/>
    </row>
    <row r="8" spans="1:3" x14ac:dyDescent="0.3">
      <c r="A8" s="29" t="s">
        <v>99</v>
      </c>
      <c r="B8" s="30">
        <f>SUM(B3:B7)</f>
        <v>222000</v>
      </c>
      <c r="C8" s="21"/>
    </row>
    <row r="9" spans="1:3" x14ac:dyDescent="0.3">
      <c r="A9" s="29" t="s">
        <v>100</v>
      </c>
      <c r="B9" s="31">
        <f>B15</f>
        <v>55080</v>
      </c>
      <c r="C9" s="21"/>
    </row>
    <row r="11" spans="1:3" x14ac:dyDescent="0.3">
      <c r="A11" s="22" t="s">
        <v>117</v>
      </c>
      <c r="B11" s="23" t="s">
        <v>115</v>
      </c>
    </row>
    <row r="12" spans="1:3" x14ac:dyDescent="0.3">
      <c r="A12" s="14" t="s">
        <v>99</v>
      </c>
      <c r="B12" s="15">
        <v>222000</v>
      </c>
    </row>
    <row r="13" spans="1:3" x14ac:dyDescent="0.3">
      <c r="A13" s="14" t="s">
        <v>118</v>
      </c>
      <c r="B13" s="15">
        <f>B12*25%</f>
        <v>55500</v>
      </c>
    </row>
    <row r="14" spans="1:3" x14ac:dyDescent="0.3">
      <c r="A14" s="14" t="s">
        <v>119</v>
      </c>
      <c r="B14" s="14">
        <f>-((250000-222000)*3/200)</f>
        <v>-420</v>
      </c>
    </row>
    <row r="15" spans="1:3" x14ac:dyDescent="0.3">
      <c r="A15" s="12" t="s">
        <v>120</v>
      </c>
      <c r="B15" s="24">
        <v>55080</v>
      </c>
    </row>
    <row r="18" spans="1:1" x14ac:dyDescent="0.3">
      <c r="A18" t="s">
        <v>121</v>
      </c>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pane ySplit="2" topLeftCell="A3" activePane="bottomLeft" state="frozen"/>
      <selection pane="bottomLeft" activeCell="C12" sqref="C12"/>
    </sheetView>
  </sheetViews>
  <sheetFormatPr defaultRowHeight="14.4" x14ac:dyDescent="0.3"/>
  <cols>
    <col min="1" max="1" width="20" customWidth="1"/>
    <col min="2" max="2" width="42" customWidth="1"/>
    <col min="3" max="3" width="21" customWidth="1"/>
    <col min="4" max="4" width="28" customWidth="1"/>
  </cols>
  <sheetData>
    <row r="1" spans="1:4" x14ac:dyDescent="0.3">
      <c r="A1" s="32" t="s">
        <v>101</v>
      </c>
      <c r="B1" s="32"/>
      <c r="C1" s="32"/>
      <c r="D1" s="32"/>
    </row>
    <row r="2" spans="1:4" x14ac:dyDescent="0.3">
      <c r="A2" s="32"/>
      <c r="B2" s="32"/>
      <c r="C2" s="32"/>
      <c r="D2" s="32"/>
    </row>
    <row r="3" spans="1:4" x14ac:dyDescent="0.3">
      <c r="A3" s="1"/>
      <c r="B3" s="1"/>
      <c r="C3" s="1"/>
      <c r="D3" s="1"/>
    </row>
    <row r="4" spans="1:4" x14ac:dyDescent="0.3">
      <c r="A4" s="5" t="s">
        <v>104</v>
      </c>
      <c r="B4" s="5" t="s">
        <v>105</v>
      </c>
      <c r="C4" s="5" t="s">
        <v>106</v>
      </c>
      <c r="D4" s="16" t="s">
        <v>116</v>
      </c>
    </row>
    <row r="5" spans="1:4" x14ac:dyDescent="0.3">
      <c r="A5" s="3" t="s">
        <v>107</v>
      </c>
      <c r="B5" s="8">
        <f>'Individual Source Data'!B7</f>
        <v>78400</v>
      </c>
      <c r="C5" s="8">
        <f>D5-B5</f>
        <v>1400</v>
      </c>
      <c r="D5" s="8">
        <f>79800</f>
        <v>79800</v>
      </c>
    </row>
    <row r="6" spans="1:4" x14ac:dyDescent="0.3">
      <c r="A6" s="3" t="s">
        <v>89</v>
      </c>
      <c r="B6" s="8">
        <f>'Company Source Data'!B7</f>
        <v>210000</v>
      </c>
      <c r="C6" s="8">
        <f>D6-B6</f>
        <v>12000</v>
      </c>
      <c r="D6" s="8">
        <f>'Company Tax Comp'!B8</f>
        <v>222000</v>
      </c>
    </row>
    <row r="8" spans="1:4" x14ac:dyDescent="0.3">
      <c r="A8" s="34" t="s">
        <v>102</v>
      </c>
      <c r="B8" s="33" t="s">
        <v>103</v>
      </c>
    </row>
  </sheetData>
  <mergeCells count="1">
    <mergeCell ref="A1: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Tax Rates</vt:lpstr>
      <vt:lpstr>Individual Source Data</vt:lpstr>
      <vt:lpstr>Individual Tax Comp</vt:lpstr>
      <vt:lpstr>Capital Allowances</vt:lpstr>
      <vt:lpstr>Company Source Data</vt:lpstr>
      <vt:lpstr>Company Tax Comp</vt:lpstr>
      <vt:lpstr>Tax Reconciliation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 Varthan</cp:lastModifiedBy>
  <dcterms:created xsi:type="dcterms:W3CDTF">2026-09-30T09:38:12Z</dcterms:created>
  <dcterms:modified xsi:type="dcterms:W3CDTF">2026-09-30T10:49:13Z</dcterms:modified>
</cp:coreProperties>
</file>